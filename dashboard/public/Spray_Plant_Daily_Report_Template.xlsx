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ummary" sheetId="1" state="visible" r:id="rId3"/>
    <sheet name="Raw Data Feed" sheetId="2" state="visible" r:id="rId4"/>
    <sheet name="KPI Defini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<sst xmlns="http://schemas.openxmlformats.org/spreadsheetml/2006/main" count="117" uniqueCount="62">
  <si>
    <t xml:space="preserve">DADA ENTERPRISES — SPRAY PLANT DAILY REPORT</t>
  </si>
  <si>
    <t xml:space="preserve">Report Date:  09 April 2026   |   Shifts Covered: Morning &amp; Afternoon</t>
  </si>
  <si>
    <t xml:space="preserve">SECTION 1 — PLANT UTILISATION (%)</t>
  </si>
  <si>
    <t xml:space="preserve">Plant</t>
  </si>
  <si>
    <t xml:space="preserve">Available Hours</t>
  </si>
  <si>
    <t xml:space="preserve">Morning Run (hrs)</t>
  </si>
  <si>
    <t xml:space="preserve">Afternoon Run (hrs)</t>
  </si>
  <si>
    <t xml:space="preserve">Total Run (hrs)</t>
  </si>
  <si>
    <t xml:space="preserve">Idle Time (hrs)</t>
  </si>
  <si>
    <t xml:space="preserve">Utilisation %</t>
  </si>
  <si>
    <t xml:space="preserve">Status</t>
  </si>
  <si>
    <t xml:space="preserve">SP-1</t>
  </si>
  <si>
    <t xml:space="preserve">SP-2</t>
  </si>
  <si>
    <t xml:space="preserve">SP-3</t>
  </si>
  <si>
    <t xml:space="preserve">SP-4</t>
  </si>
  <si>
    <t xml:space="preserve">SP-5</t>
  </si>
  <si>
    <t xml:space="preserve">SP-6</t>
  </si>
  <si>
    <t xml:space="preserve">AVERAGE UTILISATION (ALL PLANTS)</t>
  </si>
  <si>
    <t xml:space="preserve">SECTION 2 — PIECES PASSED PER PLANT</t>
  </si>
  <si>
    <t xml:space="preserve">Morning Shift</t>
  </si>
  <si>
    <t xml:space="preserve">Afternoon Shift</t>
  </si>
  <si>
    <t xml:space="preserve">Total Pieces</t>
  </si>
  <si>
    <t xml:space="preserve">Daily Target</t>
  </si>
  <si>
    <t xml:space="preserve">Achievement %</t>
  </si>
  <si>
    <t xml:space="preserve">vs Target</t>
  </si>
  <si>
    <t xml:space="preserve">TOTAL (ALL PLANTS)</t>
  </si>
  <si>
    <t xml:space="preserve">Auto-generated by Spray Plant Monitoring System  |  Dada Enterprises, Kasur</t>
  </si>
  <si>
    <t xml:space="preserve">RAW DATA FEED — Source for Daily Summary</t>
  </si>
  <si>
    <t xml:space="preserve">Date</t>
  </si>
  <si>
    <t xml:space="preserve">Plant ID</t>
  </si>
  <si>
    <t xml:space="preserve">Shift</t>
  </si>
  <si>
    <t xml:space="preserve">Shift Start</t>
  </si>
  <si>
    <t xml:space="preserve">Shift End</t>
  </si>
  <si>
    <t xml:space="preserve">Run Time (min)</t>
  </si>
  <si>
    <t xml:space="preserve">Idle Time (min)</t>
  </si>
  <si>
    <t xml:space="preserve">Pieces Passed</t>
  </si>
  <si>
    <t xml:space="preserve">Morning</t>
  </si>
  <si>
    <t xml:space="preserve">06:00</t>
  </si>
  <si>
    <t xml:space="preserve">14:00</t>
  </si>
  <si>
    <t xml:space="preserve">Afternoon</t>
  </si>
  <si>
    <t xml:space="preserve">22:00</t>
  </si>
  <si>
    <t xml:space="preserve">KPI DEFINITIONS &amp; REPORTING LOGIC</t>
  </si>
  <si>
    <t xml:space="preserve">KPI</t>
  </si>
  <si>
    <t xml:space="preserve">Definition / Formula</t>
  </si>
  <si>
    <t xml:space="preserve">Threshold</t>
  </si>
  <si>
    <t xml:space="preserve">Total Run Time ÷ Available Hours (Morning + Afternoon = 16 hrs)</t>
  </si>
  <si>
    <t xml:space="preserve">≥ 85% = On Target</t>
  </si>
  <si>
    <t xml:space="preserve">Total pieces counted per plant (Morning + Afternoon), via YOLOv8 camera</t>
  </si>
  <si>
    <t xml:space="preserve">Per plant daily target</t>
  </si>
  <si>
    <t xml:space="preserve">Total Pieces ÷ Daily Target</t>
  </si>
  <si>
    <t xml:space="preserve">≥ 90% = On Target</t>
  </si>
  <si>
    <t xml:space="preserve">Available Hours − Total Run Time</t>
  </si>
  <si>
    <t xml:space="preserve">&lt; 2 hrs/day</t>
  </si>
  <si>
    <t xml:space="preserve">vs Target (pcs)</t>
  </si>
  <si>
    <t xml:space="preserve">Total Pieces − Daily Target (positive = above target)</t>
  </si>
  <si>
    <t xml:space="preserve">≥ 0</t>
  </si>
  <si>
    <t xml:space="preserve">Status (Utilisation)</t>
  </si>
  <si>
    <t xml:space="preserve">✔ On Target (≥85%)  /  ⚠ Monitor (70–84%)  /  ✘ Low (&lt;70%)</t>
  </si>
  <si>
    <t xml:space="preserve">Status (Pieces)</t>
  </si>
  <si>
    <t xml:space="preserve">✔ On Target (≥90%)  /  ⚠ Monitor (75–89%)  /  ✘ Low (&lt;75%)</t>
  </si>
  <si>
    <t xml:space="preserve">Shifts</t>
  </si>
  <si>
    <t xml:space="preserve">Morning: 06:00–14:00   |   Afternoon: 14:00–22:00   |   No Night Shift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</si>
</sst>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  <col collapsed="false" customWidth="true" hidden="false" outlineLevel="0" max="8" min="8" style="0" width="20"/>
  </cols>
  <sheetData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6" customFormat="false" ht="21.75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</row>
    <row r="7" customFormat="false" ht="31.5" hidden="false" customHeight="tru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r="8" customFormat="false" ht="15" hidden="false" customHeight="false" outlineLevel="0" collapsed="false">
      <c r="A8" s="5" t="s">
        <v>11</v>
      </c>
      <c r="B8" s="6" t="n">
        <v>16</v>
      </c>
      <c r="C8" s="6" t="n">
        <v>7.5</v>
      </c>
      <c r="D8" s="6" t="n">
        <v>7</v>
      </c>
      <c r="E8" s="6" t="n">
        <f aca="false">C8+D8</f>
        <v>14.5</v>
      </c>
      <c r="F8" s="6" t="n">
        <f aca="false">B8-E8</f>
        <v>1.5</v>
      </c>
      <c r="G8" s="7" t="n">
        <f aca="false">E8/B8</f>
        <v>0.90625</v>
      </c>
      <c r="H8" s="6" t="str">
        <f aca="false">IF(G8&gt;=0.85,"✔ On Target",IF(G8&gt;=0.7,"⚠ Monitor","✘ Low"))</f>
        <v>✔ On Target</v>
      </c>
    </row>
    <row r="9" customFormat="false" ht="15" hidden="false" customHeight="false" outlineLevel="0" collapsed="false">
      <c r="A9" s="8" t="s">
        <v>12</v>
      </c>
      <c r="B9" s="9" t="n">
        <v>16</v>
      </c>
      <c r="C9" s="9" t="n">
        <v>6.5</v>
      </c>
      <c r="D9" s="9" t="n">
        <v>6.8</v>
      </c>
      <c r="E9" s="9" t="n">
        <f aca="false">C9+D9</f>
        <v>13.3</v>
      </c>
      <c r="F9" s="9" t="n">
        <f aca="false">B9-E9</f>
        <v>2.7</v>
      </c>
      <c r="G9" s="10" t="n">
        <f aca="false">E9/B9</f>
        <v>0.83125</v>
      </c>
      <c r="H9" s="9" t="str">
        <f aca="false">IF(G9&gt;=0.85,"✔ On Target",IF(G9&gt;=0.7,"⚠ Monitor","✘ Low"))</f>
        <v>⚠ Monitor</v>
      </c>
    </row>
    <row r="10" customFormat="false" ht="15" hidden="false" customHeight="false" outlineLevel="0" collapsed="false">
      <c r="A10" s="5" t="s">
        <v>13</v>
      </c>
      <c r="B10" s="6" t="n">
        <v>16</v>
      </c>
      <c r="C10" s="6" t="n">
        <v>7.8</v>
      </c>
      <c r="D10" s="6" t="n">
        <v>7.5</v>
      </c>
      <c r="E10" s="6" t="n">
        <f aca="false">C10+D10</f>
        <v>15.3</v>
      </c>
      <c r="F10" s="6" t="n">
        <f aca="false">B10-E10</f>
        <v>0.699999999999999</v>
      </c>
      <c r="G10" s="7" t="n">
        <f aca="false">E10/B10</f>
        <v>0.95625</v>
      </c>
      <c r="H10" s="6" t="str">
        <f aca="false">IF(G10&gt;=0.85,"✔ On Target",IF(G10&gt;=0.7,"⚠ Monitor","✘ Low"))</f>
        <v>✔ On Target</v>
      </c>
    </row>
    <row r="11" customFormat="false" ht="15" hidden="false" customHeight="false" outlineLevel="0" collapsed="false">
      <c r="A11" s="8" t="s">
        <v>14</v>
      </c>
      <c r="B11" s="9" t="n">
        <v>16</v>
      </c>
      <c r="C11" s="9" t="n">
        <v>6</v>
      </c>
      <c r="D11" s="9" t="n">
        <v>6.5</v>
      </c>
      <c r="E11" s="9" t="n">
        <f aca="false">C11+D11</f>
        <v>12.5</v>
      </c>
      <c r="F11" s="9" t="n">
        <f aca="false">B11-E11</f>
        <v>3.5</v>
      </c>
      <c r="G11" s="10" t="n">
        <f aca="false">E11/B11</f>
        <v>0.78125</v>
      </c>
      <c r="H11" s="9" t="str">
        <f aca="false">IF(G11&gt;=0.85,"✔ On Target",IF(G11&gt;=0.7,"⚠ Monitor","✘ Low"))</f>
        <v>⚠ Monitor</v>
      </c>
    </row>
    <row r="12" customFormat="false" ht="15" hidden="false" customHeight="false" outlineLevel="0" collapsed="false">
      <c r="A12" s="5" t="s">
        <v>15</v>
      </c>
      <c r="B12" s="6" t="n">
        <v>16</v>
      </c>
      <c r="C12" s="6" t="n">
        <v>7.2</v>
      </c>
      <c r="D12" s="6" t="n">
        <v>7</v>
      </c>
      <c r="E12" s="6" t="n">
        <f aca="false">C12+D12</f>
        <v>14.2</v>
      </c>
      <c r="F12" s="6" t="n">
        <f aca="false">B12-E12</f>
        <v>1.8</v>
      </c>
      <c r="G12" s="7" t="n">
        <f aca="false">E12/B12</f>
        <v>0.8875</v>
      </c>
      <c r="H12" s="6" t="str">
        <f aca="false">IF(G12&gt;=0.85,"✔ On Target",IF(G12&gt;=0.7,"⚠ Monitor","✘ Low"))</f>
        <v>✔ On Target</v>
      </c>
    </row>
    <row r="13" customFormat="false" ht="15" hidden="false" customHeight="false" outlineLevel="0" collapsed="false">
      <c r="A13" s="8" t="s">
        <v>16</v>
      </c>
      <c r="B13" s="9" t="n">
        <v>16</v>
      </c>
      <c r="C13" s="9" t="n">
        <v>6.8</v>
      </c>
      <c r="D13" s="9" t="n">
        <v>7.2</v>
      </c>
      <c r="E13" s="9" t="n">
        <f aca="false">C13+D13</f>
        <v>14</v>
      </c>
      <c r="F13" s="9" t="n">
        <f aca="false">B13-E13</f>
        <v>2</v>
      </c>
      <c r="G13" s="10" t="n">
        <f aca="false">E13/B13</f>
        <v>0.875</v>
      </c>
      <c r="H13" s="9" t="str">
        <f aca="false">IF(G13&gt;=0.85,"✔ On Target",IF(G13&gt;=0.7,"⚠ Monitor","✘ Low"))</f>
        <v>✔ On Target</v>
      </c>
    </row>
    <row r="14" customFormat="false" ht="15" hidden="false" customHeight="true" outlineLevel="0" collapsed="false">
      <c r="A14" s="4" t="s">
        <v>17</v>
      </c>
      <c r="B14" s="4"/>
      <c r="C14" s="4"/>
      <c r="D14" s="4"/>
      <c r="E14" s="4"/>
      <c r="F14" s="4"/>
      <c r="G14" s="11" t="n">
        <f aca="false">AVERAGE(G8:G13)</f>
        <v>0.872916666666667</v>
      </c>
      <c r="H14" s="12"/>
    </row>
    <row r="16" customFormat="false" ht="21.75" hidden="false" customHeight="true" outlineLevel="0" collapsed="false">
      <c r="A16" s="3" t="s">
        <v>18</v>
      </c>
      <c r="B16" s="3"/>
      <c r="C16" s="3"/>
      <c r="D16" s="3"/>
      <c r="E16" s="3"/>
      <c r="F16" s="3"/>
      <c r="G16" s="3"/>
      <c r="H16" s="3"/>
    </row>
    <row r="17" customFormat="false" ht="31.5" hidden="false" customHeight="true" outlineLevel="0" collapsed="false">
      <c r="A17" s="4" t="s">
        <v>3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4" t="s">
        <v>10</v>
      </c>
    </row>
    <row r="18" customFormat="false" ht="15" hidden="false" customHeight="false" outlineLevel="0" collapsed="false">
      <c r="A18" s="5" t="s">
        <v>11</v>
      </c>
      <c r="B18" s="6" t="n">
        <v>3200</v>
      </c>
      <c r="C18" s="6" t="n">
        <v>3100</v>
      </c>
      <c r="D18" s="5" t="n">
        <f aca="false">B18+C18</f>
        <v>6300</v>
      </c>
      <c r="E18" s="6" t="n">
        <v>6500</v>
      </c>
      <c r="F18" s="7" t="n">
        <f aca="false">D18/E18</f>
        <v>0.969230769230769</v>
      </c>
      <c r="G18" s="6" t="n">
        <f aca="false">D18-E18</f>
        <v>-200</v>
      </c>
      <c r="H18" s="6" t="str">
        <f aca="false">IF(F18&gt;=0.9,"✔ On Target",IF(F18&gt;=0.75,"⚠ Monitor","✘ Low"))</f>
        <v>✔ On Target</v>
      </c>
    </row>
    <row r="19" customFormat="false" ht="15" hidden="false" customHeight="false" outlineLevel="0" collapsed="false">
      <c r="A19" s="8" t="s">
        <v>12</v>
      </c>
      <c r="B19" s="9" t="n">
        <v>2900</v>
      </c>
      <c r="C19" s="9" t="n">
        <v>2750</v>
      </c>
      <c r="D19" s="8" t="n">
        <f aca="false">B19+C19</f>
        <v>5650</v>
      </c>
      <c r="E19" s="9" t="n">
        <v>6000</v>
      </c>
      <c r="F19" s="10" t="n">
        <f aca="false">D19/E19</f>
        <v>0.941666666666667</v>
      </c>
      <c r="G19" s="9" t="n">
        <f aca="false">D19-E19</f>
        <v>-350</v>
      </c>
      <c r="H19" s="9" t="str">
        <f aca="false">IF(F19&gt;=0.9,"✔ On Target",IF(F19&gt;=0.75,"⚠ Monitor","✘ Low"))</f>
        <v>✔ On Target</v>
      </c>
    </row>
    <row r="20" customFormat="false" ht="15" hidden="false" customHeight="false" outlineLevel="0" collapsed="false">
      <c r="A20" s="5" t="s">
        <v>13</v>
      </c>
      <c r="B20" s="6" t="n">
        <v>3400</v>
      </c>
      <c r="C20" s="6" t="n">
        <v>3300</v>
      </c>
      <c r="D20" s="5" t="n">
        <f aca="false">B20+C20</f>
        <v>6700</v>
      </c>
      <c r="E20" s="6" t="n">
        <v>7000</v>
      </c>
      <c r="F20" s="7" t="n">
        <f aca="false">D20/E20</f>
        <v>0.957142857142857</v>
      </c>
      <c r="G20" s="6" t="n">
        <f aca="false">D20-E20</f>
        <v>-300</v>
      </c>
      <c r="H20" s="6" t="str">
        <f aca="false">IF(F20&gt;=0.9,"✔ On Target",IF(F20&gt;=0.75,"⚠ Monitor","✘ Low"))</f>
        <v>✔ On Target</v>
      </c>
    </row>
    <row r="21" customFormat="false" ht="15" hidden="false" customHeight="false" outlineLevel="0" collapsed="false">
      <c r="A21" s="8" t="s">
        <v>14</v>
      </c>
      <c r="B21" s="9" t="n">
        <v>2700</v>
      </c>
      <c r="C21" s="9" t="n">
        <v>2600</v>
      </c>
      <c r="D21" s="8" t="n">
        <f aca="false">B21+C21</f>
        <v>5300</v>
      </c>
      <c r="E21" s="9" t="n">
        <v>5500</v>
      </c>
      <c r="F21" s="10" t="n">
        <f aca="false">D21/E21</f>
        <v>0.963636363636364</v>
      </c>
      <c r="G21" s="9" t="n">
        <f aca="false">D21-E21</f>
        <v>-200</v>
      </c>
      <c r="H21" s="9" t="str">
        <f aca="false">IF(F21&gt;=0.9,"✔ On Target",IF(F21&gt;=0.75,"⚠ Monitor","✘ Low"))</f>
        <v>✔ On Target</v>
      </c>
    </row>
    <row r="22" customFormat="false" ht="15" hidden="false" customHeight="false" outlineLevel="0" collapsed="false">
      <c r="A22" s="5" t="s">
        <v>15</v>
      </c>
      <c r="B22" s="6" t="n">
        <v>3100</v>
      </c>
      <c r="C22" s="6" t="n">
        <v>2950</v>
      </c>
      <c r="D22" s="5" t="n">
        <f aca="false">B22+C22</f>
        <v>6050</v>
      </c>
      <c r="E22" s="6" t="n">
        <v>6200</v>
      </c>
      <c r="F22" s="7" t="n">
        <f aca="false">D22/E22</f>
        <v>0.975806451612903</v>
      </c>
      <c r="G22" s="6" t="n">
        <f aca="false">D22-E22</f>
        <v>-150</v>
      </c>
      <c r="H22" s="6" t="str">
        <f aca="false">IF(F22&gt;=0.9,"✔ On Target",IF(F22&gt;=0.75,"⚠ Monitor","✘ Low"))</f>
        <v>✔ On Target</v>
      </c>
    </row>
    <row r="23" customFormat="false" ht="15" hidden="false" customHeight="false" outlineLevel="0" collapsed="false">
      <c r="A23" s="8" t="s">
        <v>16</v>
      </c>
      <c r="B23" s="9" t="n">
        <v>2800</v>
      </c>
      <c r="C23" s="9" t="n">
        <v>2700</v>
      </c>
      <c r="D23" s="8" t="n">
        <f aca="false">B23+C23</f>
        <v>5500</v>
      </c>
      <c r="E23" s="9" t="n">
        <v>5800</v>
      </c>
      <c r="F23" s="10" t="n">
        <f aca="false">D23/E23</f>
        <v>0.948275862068966</v>
      </c>
      <c r="G23" s="9" t="n">
        <f aca="false">D23-E23</f>
        <v>-300</v>
      </c>
      <c r="H23" s="9" t="str">
        <f aca="false">IF(F23&gt;=0.9,"✔ On Target",IF(F23&gt;=0.75,"⚠ Monitor","✘ Low"))</f>
        <v>✔ On Target</v>
      </c>
    </row>
    <row r="24" customFormat="false" ht="15" hidden="false" customHeight="true" outlineLevel="0" collapsed="false">
      <c r="A24" s="4" t="s">
        <v>25</v>
      </c>
      <c r="B24" s="4"/>
      <c r="C24" s="4"/>
      <c r="D24" s="4" t="n">
        <f aca="false">SUM(D18:D23)</f>
        <v>35500</v>
      </c>
      <c r="E24" s="4" t="n">
        <f aca="false">SUM(E18:E23)</f>
        <v>37000</v>
      </c>
      <c r="F24" s="11" t="n">
        <f aca="false">D24/E24</f>
        <v>0.959459459459459</v>
      </c>
      <c r="G24" s="4" t="n">
        <f aca="false">SUM(G18:G23)</f>
        <v>-1500</v>
      </c>
      <c r="H24" s="12"/>
    </row>
    <row r="26" customFormat="false" ht="15" hidden="false" customHeight="true" outlineLevel="0" collapsed="false">
      <c r="A26" s="13" t="s">
        <v>26</v>
      </c>
      <c r="B26" s="13"/>
      <c r="C26" s="13"/>
      <c r="D26" s="13"/>
      <c r="E26" s="13"/>
      <c r="F26" s="13"/>
      <c r="G26" s="13"/>
      <c r="H26" s="13"/>
    </row>
  </sheetData>
  <mergeCells count="7">
    <mergeCell ref="A2:H2"/>
    <mergeCell ref="A4:H4"/>
    <mergeCell ref="A6:H6"/>
    <mergeCell ref="A14:F14"/>
    <mergeCell ref="A16:H16"/>
    <mergeCell ref="A24:C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6"/>
  </cols>
  <sheetData>
    <row r="1" customFormat="false" ht="30" hidden="false" customHeight="true" outlineLevel="0" collapsed="false">
      <c r="A1" s="14" t="s">
        <v>27</v>
      </c>
      <c r="B1" s="14"/>
      <c r="C1" s="14"/>
      <c r="D1" s="14"/>
      <c r="E1" s="14"/>
      <c r="F1" s="14"/>
      <c r="G1" s="14"/>
      <c r="H1" s="14"/>
    </row>
    <row r="2" customFormat="false" ht="27.75" hidden="false" customHeight="true" outlineLevel="0" collapsed="false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</row>
    <row r="3" customFormat="false" ht="15" hidden="false" customHeight="false" outlineLevel="0" collapsed="false">
      <c r="A3" s="15" t="n">
        <v>46121</v>
      </c>
      <c r="B3" s="9" t="s">
        <v>11</v>
      </c>
      <c r="C3" s="9" t="s">
        <v>36</v>
      </c>
      <c r="D3" s="9" t="s">
        <v>37</v>
      </c>
      <c r="E3" s="9" t="s">
        <v>38</v>
      </c>
      <c r="F3" s="9" t="n">
        <v>450</v>
      </c>
      <c r="G3" s="9" t="n">
        <v>30</v>
      </c>
      <c r="H3" s="9" t="n">
        <v>3200</v>
      </c>
    </row>
    <row r="4" customFormat="false" ht="15" hidden="false" customHeight="false" outlineLevel="0" collapsed="false">
      <c r="A4" s="16" t="n">
        <v>46121</v>
      </c>
      <c r="B4" s="6" t="s">
        <v>11</v>
      </c>
      <c r="C4" s="6" t="s">
        <v>39</v>
      </c>
      <c r="D4" s="6" t="s">
        <v>38</v>
      </c>
      <c r="E4" s="6" t="s">
        <v>40</v>
      </c>
      <c r="F4" s="6" t="n">
        <v>420</v>
      </c>
      <c r="G4" s="6" t="n">
        <v>60</v>
      </c>
      <c r="H4" s="6" t="n">
        <v>3100</v>
      </c>
    </row>
    <row r="5" customFormat="false" ht="15" hidden="false" customHeight="false" outlineLevel="0" collapsed="false">
      <c r="A5" s="15" t="n">
        <v>46121</v>
      </c>
      <c r="B5" s="9" t="s">
        <v>12</v>
      </c>
      <c r="C5" s="9" t="s">
        <v>36</v>
      </c>
      <c r="D5" s="9" t="s">
        <v>37</v>
      </c>
      <c r="E5" s="9" t="s">
        <v>38</v>
      </c>
      <c r="F5" s="9" t="n">
        <v>390</v>
      </c>
      <c r="G5" s="9" t="n">
        <v>90</v>
      </c>
      <c r="H5" s="9" t="n">
        <v>2900</v>
      </c>
    </row>
    <row r="6" customFormat="false" ht="15" hidden="false" customHeight="false" outlineLevel="0" collapsed="false">
      <c r="A6" s="16" t="n">
        <v>46121</v>
      </c>
      <c r="B6" s="6" t="s">
        <v>12</v>
      </c>
      <c r="C6" s="6" t="s">
        <v>39</v>
      </c>
      <c r="D6" s="6" t="s">
        <v>38</v>
      </c>
      <c r="E6" s="6" t="s">
        <v>40</v>
      </c>
      <c r="F6" s="6" t="n">
        <v>408</v>
      </c>
      <c r="G6" s="6" t="n">
        <v>72</v>
      </c>
      <c r="H6" s="6" t="n">
        <v>2750</v>
      </c>
    </row>
    <row r="7" customFormat="false" ht="15" hidden="false" customHeight="false" outlineLevel="0" collapsed="false">
      <c r="A7" s="15" t="n">
        <v>46121</v>
      </c>
      <c r="B7" s="9" t="s">
        <v>13</v>
      </c>
      <c r="C7" s="9" t="s">
        <v>36</v>
      </c>
      <c r="D7" s="9" t="s">
        <v>37</v>
      </c>
      <c r="E7" s="9" t="s">
        <v>38</v>
      </c>
      <c r="F7" s="9" t="n">
        <v>468</v>
      </c>
      <c r="G7" s="9" t="n">
        <v>12</v>
      </c>
      <c r="H7" s="9" t="n">
        <v>3400</v>
      </c>
    </row>
    <row r="8" customFormat="false" ht="15" hidden="false" customHeight="false" outlineLevel="0" collapsed="false">
      <c r="A8" s="16" t="n">
        <v>46121</v>
      </c>
      <c r="B8" s="6" t="s">
        <v>13</v>
      </c>
      <c r="C8" s="6" t="s">
        <v>39</v>
      </c>
      <c r="D8" s="6" t="s">
        <v>38</v>
      </c>
      <c r="E8" s="6" t="s">
        <v>40</v>
      </c>
      <c r="F8" s="6" t="n">
        <v>450</v>
      </c>
      <c r="G8" s="6" t="n">
        <v>30</v>
      </c>
      <c r="H8" s="6" t="n">
        <v>3300</v>
      </c>
    </row>
    <row r="9" customFormat="false" ht="15" hidden="false" customHeight="false" outlineLevel="0" collapsed="false">
      <c r="A9" s="15" t="n">
        <v>46121</v>
      </c>
      <c r="B9" s="9" t="s">
        <v>14</v>
      </c>
      <c r="C9" s="9" t="s">
        <v>36</v>
      </c>
      <c r="D9" s="9" t="s">
        <v>37</v>
      </c>
      <c r="E9" s="9" t="s">
        <v>38</v>
      </c>
      <c r="F9" s="9" t="n">
        <v>360</v>
      </c>
      <c r="G9" s="9" t="n">
        <v>120</v>
      </c>
      <c r="H9" s="9" t="n">
        <v>2700</v>
      </c>
    </row>
    <row r="10" customFormat="false" ht="15" hidden="false" customHeight="false" outlineLevel="0" collapsed="false">
      <c r="A10" s="16" t="n">
        <v>46121</v>
      </c>
      <c r="B10" s="6" t="s">
        <v>14</v>
      </c>
      <c r="C10" s="6" t="s">
        <v>39</v>
      </c>
      <c r="D10" s="6" t="s">
        <v>38</v>
      </c>
      <c r="E10" s="6" t="s">
        <v>40</v>
      </c>
      <c r="F10" s="6" t="n">
        <v>390</v>
      </c>
      <c r="G10" s="6" t="n">
        <v>90</v>
      </c>
      <c r="H10" s="6" t="n">
        <v>2600</v>
      </c>
    </row>
    <row r="11" customFormat="false" ht="15" hidden="false" customHeight="false" outlineLevel="0" collapsed="false">
      <c r="A11" s="15" t="n">
        <v>46121</v>
      </c>
      <c r="B11" s="9" t="s">
        <v>15</v>
      </c>
      <c r="C11" s="9" t="s">
        <v>36</v>
      </c>
      <c r="D11" s="9" t="s">
        <v>37</v>
      </c>
      <c r="E11" s="9" t="s">
        <v>38</v>
      </c>
      <c r="F11" s="9" t="n">
        <v>432</v>
      </c>
      <c r="G11" s="9" t="n">
        <v>48</v>
      </c>
      <c r="H11" s="9" t="n">
        <v>3100</v>
      </c>
    </row>
    <row r="12" customFormat="false" ht="15" hidden="false" customHeight="false" outlineLevel="0" collapsed="false">
      <c r="A12" s="16" t="n">
        <v>46121</v>
      </c>
      <c r="B12" s="6" t="s">
        <v>15</v>
      </c>
      <c r="C12" s="6" t="s">
        <v>39</v>
      </c>
      <c r="D12" s="6" t="s">
        <v>38</v>
      </c>
      <c r="E12" s="6" t="s">
        <v>40</v>
      </c>
      <c r="F12" s="6" t="n">
        <v>420</v>
      </c>
      <c r="G12" s="6" t="n">
        <v>60</v>
      </c>
      <c r="H12" s="6" t="n">
        <v>2950</v>
      </c>
    </row>
    <row r="13" customFormat="false" ht="15" hidden="false" customHeight="false" outlineLevel="0" collapsed="false">
      <c r="A13" s="15" t="n">
        <v>46121</v>
      </c>
      <c r="B13" s="9" t="s">
        <v>16</v>
      </c>
      <c r="C13" s="9" t="s">
        <v>36</v>
      </c>
      <c r="D13" s="9" t="s">
        <v>37</v>
      </c>
      <c r="E13" s="9" t="s">
        <v>38</v>
      </c>
      <c r="F13" s="9" t="n">
        <v>408</v>
      </c>
      <c r="G13" s="9" t="n">
        <v>72</v>
      </c>
      <c r="H13" s="9" t="n">
        <v>2800</v>
      </c>
    </row>
    <row r="14" customFormat="false" ht="15" hidden="false" customHeight="false" outlineLevel="0" collapsed="false">
      <c r="A14" s="16" t="n">
        <v>46121</v>
      </c>
      <c r="B14" s="6" t="s">
        <v>16</v>
      </c>
      <c r="C14" s="6" t="s">
        <v>39</v>
      </c>
      <c r="D14" s="6" t="s">
        <v>38</v>
      </c>
      <c r="E14" s="6" t="s">
        <v>40</v>
      </c>
      <c r="F14" s="6" t="n">
        <v>432</v>
      </c>
      <c r="G14" s="6" t="n">
        <v>48</v>
      </c>
      <c r="H14" s="6" t="n">
        <v>2700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7" t="s">
        <v>41</v>
      </c>
      <c r="B1" s="17"/>
      <c r="C1" s="17"/>
    </row>
    <row r="2" customFormat="false" ht="27.75" hidden="false" customHeight="true" outlineLevel="0" collapsed="false">
      <c r="A2" s="18" t="s">
        <v>42</v>
      </c>
      <c r="B2" s="18" t="s">
        <v>43</v>
      </c>
      <c r="C2" s="18" t="s">
        <v>44</v>
      </c>
    </row>
    <row r="3" customFormat="false" ht="25.5" hidden="false" customHeight="true" outlineLevel="0" collapsed="false">
      <c r="A3" s="19" t="s">
        <v>9</v>
      </c>
      <c r="B3" s="19" t="s">
        <v>45</v>
      </c>
      <c r="C3" s="19" t="s">
        <v>46</v>
      </c>
    </row>
    <row r="4" customFormat="false" ht="25.5" hidden="false" customHeight="true" outlineLevel="0" collapsed="false">
      <c r="A4" s="20" t="s">
        <v>35</v>
      </c>
      <c r="B4" s="20" t="s">
        <v>47</v>
      </c>
      <c r="C4" s="20" t="s">
        <v>48</v>
      </c>
    </row>
    <row r="5" customFormat="false" ht="25.5" hidden="false" customHeight="true" outlineLevel="0" collapsed="false">
      <c r="A5" s="19" t="s">
        <v>23</v>
      </c>
      <c r="B5" s="19" t="s">
        <v>49</v>
      </c>
      <c r="C5" s="19" t="s">
        <v>50</v>
      </c>
    </row>
    <row r="6" customFormat="false" ht="25.5" hidden="false" customHeight="true" outlineLevel="0" collapsed="false">
      <c r="A6" s="20" t="s">
        <v>8</v>
      </c>
      <c r="B6" s="20" t="s">
        <v>51</v>
      </c>
      <c r="C6" s="20" t="s">
        <v>52</v>
      </c>
    </row>
    <row r="7" customFormat="false" ht="25.5" hidden="false" customHeight="true" outlineLevel="0" collapsed="false">
      <c r="A7" s="19" t="s">
        <v>53</v>
      </c>
      <c r="B7" s="19" t="s">
        <v>54</v>
      </c>
      <c r="C7" s="19" t="s">
        <v>55</v>
      </c>
    </row>
    <row r="8" customFormat="false" ht="25.5" hidden="false" customHeight="true" outlineLevel="0" collapsed="false">
      <c r="A8" s="20" t="s">
        <v>56</v>
      </c>
      <c r="B8" s="20" t="s">
        <v>57</v>
      </c>
      <c r="C8" s="20"/>
    </row>
    <row r="9" customFormat="false" ht="25.5" hidden="false" customHeight="true" outlineLevel="0" collapsed="false">
      <c r="A9" s="19" t="s">
        <v>58</v>
      </c>
      <c r="B9" s="19" t="s">
        <v>59</v>
      </c>
      <c r="C9" s="19"/>
    </row>
    <row r="10" customFormat="false" ht="25.5" hidden="false" customHeight="true" outlineLevel="0" collapsed="false">
      <c r="A10" s="20" t="s">
        <v>60</v>
      </c>
      <c r="B10" s="20" t="s">
        <v>61</v>
      </c>
      <c r="C10" s="2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2026-04-09T05:56:37Z</dcterms:created>
  <dc:creator>openpyxl</dc:creator>
  <dc:description/>
  <dc:language>en-US</dc:language>
  <cp:lastModifiedBy/>
  <dcterms:modified xsi:type="dcterms:W3CDTF">2026-04-09T05:56:37Z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