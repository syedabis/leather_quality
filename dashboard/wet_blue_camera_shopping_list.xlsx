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ping list" sheetId="1" state="visible" r:id="rId3"/>
    <sheet name="Camera set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Source: instock.pk product page, checked 24 Sep 2026.</t>
        </r>
      </text>
    </comment>
  </commentList>
</comments>
</file>

<file path=xl/sharedStrings.xml><?xml version="1.0" encoding="utf-8"?>
<sst xmlns="http://schemas.openxmlformats.org/spreadsheetml/2006/main" count="71" uniqueCount="58">
  <si>
    <t xml:space="preserve">Wet blue station: core camera shopping list (Raspberry Pi HQ Camera)</t>
  </si>
  <si>
    <t xml:space="preserve">Prices in PKR as listed on the store pages on 24 Sep 2026. Stock on the camera is very low, so confirm with the store before paying.</t>
  </si>
  <si>
    <t xml:space="preserve">Legend: blue text = inputs you can change (price, status). Yellow cells = price not listed; enter it once you have a quote. Black = formulas.</t>
  </si>
  <si>
    <t xml:space="preserve">#</t>
  </si>
  <si>
    <t xml:space="preserve">Item</t>
  </si>
  <si>
    <t xml:space="preserve">Option 1: where</t>
  </si>
  <si>
    <t xml:space="preserve">Option 1 link</t>
  </si>
  <si>
    <t xml:space="preserve">Option 1 price (PKR)</t>
  </si>
  <si>
    <t xml:space="preserve">Option 2 (if option 1 is out of stock)</t>
  </si>
  <si>
    <t xml:space="preserve">Option 2 link</t>
  </si>
  <si>
    <t xml:space="preserve">Notes</t>
  </si>
  <si>
    <t xml:space="preserve">Status</t>
  </si>
  <si>
    <t xml:space="preserve">Raspberry Pi HQ Camera (SC0261), 12.3 MP</t>
  </si>
  <si>
    <t xml:space="preserve">InStock.pk (Islamabad)</t>
  </si>
  <si>
    <t xml:space="preserve">Open link</t>
  </si>
  <si>
    <t xml:space="preserve">Ubuy Pakistan (imported listing)</t>
  </si>
  <si>
    <t xml:space="preserve">Comes with a C-CS adapter ring and a 200 mm ribbon cable, but no lens. InStock showed only 2 units; PKR 22,610 each if you buy 3. WhatsApp +923 111-123-923 to confirm stock and shipping to Kasur.</t>
  </si>
  <si>
    <t xml:space="preserve">To order</t>
  </si>
  <si>
    <t xml:space="preserve">Arducam 2.8-12 mm varifocal C-mount lens (LN049)</t>
  </si>
  <si>
    <t xml:space="preserve">The Pi Hut (UK, ships internationally)</t>
  </si>
  <si>
    <t xml:space="preserve">Amazon listing, ordered through Ubuy Pakistan</t>
  </si>
  <si>
    <t xml:space="preserve">Set to about 5 mm so the whole skin fits at 1210 mm camera height. Import item: order this first, it has the longest delivery time. Tighten the lock screws after setting zoom and focus.</t>
  </si>
  <si>
    <t xml:space="preserve">Fallback lens: official 6 mm wide-angle (SC0124)</t>
  </si>
  <si>
    <t xml:space="preserve">Arducam 4-12 mm varifocal (Amazon, via Ubuy)</t>
  </si>
  <si>
    <t xml:space="preserve">Only if the zoom lens is delayed. Rated 3 MP and needs the camera raised to about 1400 mm. Reviews of the 4-12 mm mention soft, distorted corners.</t>
  </si>
  <si>
    <t xml:space="preserve">Spare HQ Camera</t>
  </si>
  <si>
    <t xml:space="preserve">Optional backup, because local stock is very thin.</t>
  </si>
  <si>
    <t xml:space="preserve">Total, camera + zoom lens (priced so far)</t>
  </si>
  <si>
    <t xml:space="preserve">Total including fallback lens and spare camera</t>
  </si>
  <si>
    <t xml:space="preserve">The zoom lens has no listed price yet; the totals update once you enter it in the yellow cell.</t>
  </si>
  <si>
    <t xml:space="preserve">Target settings for the HQ Camera on the station</t>
  </si>
  <si>
    <t xml:space="preserve">Setting</t>
  </si>
  <si>
    <t xml:space="preserve">Value</t>
  </si>
  <si>
    <t xml:space="preserve">Why</t>
  </si>
  <si>
    <t xml:space="preserve">Lens height above glass</t>
  </si>
  <si>
    <t xml:space="preserve">1210 mm</t>
  </si>
  <si>
    <t xml:space="preserve">Current schematic (Rev B). Matches a 5 mm focal length.</t>
  </si>
  <si>
    <t xml:space="preserve">Focal length (zoom lens)</t>
  </si>
  <si>
    <t xml:space="preserve">About 5 mm</t>
  </si>
  <si>
    <t xml:space="preserve">Covers roughly 1520 x 1140 mm, enough for a 1350 x 1000 mm skin plus margin.</t>
  </si>
  <si>
    <t xml:space="preserve">Expected detail</t>
  </si>
  <si>
    <t xml:space="preserve">About 0.37 mm per pixel</t>
  </si>
  <si>
    <t xml:space="preserve">A 3 mm tick mark spans about 8 pixels.</t>
  </si>
  <si>
    <t xml:space="preserve">Aperture</t>
  </si>
  <si>
    <t xml:space="preserve">f/4 (range f/2.8 to f/4)</t>
  </si>
  <si>
    <t xml:space="preserve">Sharpest range for this sensor's small pixels; beyond f/5.6 diffraction softens the image.</t>
  </si>
  <si>
    <t xml:space="preserve">Exposure, gain, white balance</t>
  </si>
  <si>
    <t xml:space="preserve">All manual, locked</t>
  </si>
  <si>
    <t xml:space="preserve">One preset for the overhead shot, one for the backlit shot. Auto settings drift between skins.</t>
  </si>
  <si>
    <t xml:space="preserve">Lens rings</t>
  </si>
  <si>
    <t xml:space="preserve">Lock screws tightened</t>
  </si>
  <si>
    <t xml:space="preserve">Factory vibration can move zoom and focus.</t>
  </si>
  <si>
    <t xml:space="preserve">LED drivers</t>
  </si>
  <si>
    <t xml:space="preserve">Flicker-free (constant-current DC)</t>
  </si>
  <si>
    <t xml:space="preserve">Cheap drivers flicker at 100 Hz and cause bands with a rolling shutter.</t>
  </si>
  <si>
    <t xml:space="preserve">Acceptance test</t>
  </si>
  <si>
    <t xml:space="preserve">3 mm marks sharp in all four corners</t>
  </si>
  <si>
    <t xml:space="preserve">Photograph a printed test sheet at the centre and each corner before going live.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</si>
</sst>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B67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F5FA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1F5FA8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nstock.pk/raspberry-pi-high-quality-hq-camera-module-csi-2-with-12mp-imx477-sc0261.html" TargetMode="External"/><Relationship Id="rId3" Type="http://schemas.openxmlformats.org/officeDocument/2006/relationships/hyperlink" Target="https://www.ubuy.com.pk/en/productjp/15HQOVW30-raspberry-pi-high-quality-camera-rpi-hq-camera" TargetMode="External"/><Relationship Id="rId4" Type="http://schemas.openxmlformats.org/officeDocument/2006/relationships/hyperlink" Target="https://thepihut.com/products/c-mount-lens-for-raspberry-pi-hq-camera-2-8-12mm-varifocal" TargetMode="External"/><Relationship Id="rId5" Type="http://schemas.openxmlformats.org/officeDocument/2006/relationships/hyperlink" Target="https://www.amazon.com/Arducam-2-8-12mm-Varifocal-C-Mount-Raspberry/dp/B088GQHVY3" TargetMode="External"/><Relationship Id="rId6" Type="http://schemas.openxmlformats.org/officeDocument/2006/relationships/hyperlink" Target="https://instock.pk/raspberry-pi-cgl-6mm-wide-angle-lens-for-hq-camera-sc0124.html" TargetMode="External"/><Relationship Id="rId7" Type="http://schemas.openxmlformats.org/officeDocument/2006/relationships/hyperlink" Target="https://www.amazon.com/Arducam-Varifocal-C-Mount-Raspberry-Adapter/dp/B088GTLJC6" TargetMode="External"/><Relationship Id="rId8" Type="http://schemas.openxmlformats.org/officeDocument/2006/relationships/hyperlink" Target="https://instock.pk/raspberry-pi-high-quality-hq-camera-module-csi-2-with-12mp-imx477-sc0261.html" TargetMode="External"/><Relationship Id="rId9" Type="http://schemas.openxmlformats.org/officeDocument/2006/relationships/hyperlink" Target="https://www.ubuy.com.pk/en/productjp/15HQOVW30-raspberry-pi-high-quality-camera-rpi-hq-camera" TargetMode="External"/><Relationship Id="rId1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6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35.05" hidden="false" customHeight="false" outlineLevel="0" collapsed="false">
      <c r="A6" s="4" t="n">
        <v>1</v>
      </c>
      <c r="B6" s="4" t="s">
        <v>12</v>
      </c>
      <c r="C6" s="4" t="s">
        <v>13</v>
      </c>
      <c r="D6" s="5" t="s">
        <v>14</v>
      </c>
      <c r="E6" s="6" t="n">
        <v>23800</v>
      </c>
      <c r="F6" s="4" t="s">
        <v>15</v>
      </c>
      <c r="G6" s="5" t="s">
        <v>14</v>
      </c>
      <c r="H6" s="4" t="s">
        <v>16</v>
      </c>
      <c r="I6" s="7" t="s">
        <v>17</v>
      </c>
    </row>
    <row r="7" customFormat="false" ht="35.05" hidden="false" customHeight="false" outlineLevel="0" collapsed="false">
      <c r="A7" s="4" t="n">
        <v>2</v>
      </c>
      <c r="B7" s="4" t="s">
        <v>18</v>
      </c>
      <c r="C7" s="4" t="s">
        <v>19</v>
      </c>
      <c r="D7" s="5" t="s">
        <v>14</v>
      </c>
      <c r="E7" s="8"/>
      <c r="F7" s="4" t="s">
        <v>20</v>
      </c>
      <c r="G7" s="5" t="s">
        <v>14</v>
      </c>
      <c r="H7" s="4" t="s">
        <v>21</v>
      </c>
      <c r="I7" s="7" t="s">
        <v>17</v>
      </c>
    </row>
    <row r="8" customFormat="false" ht="35.05" hidden="false" customHeight="false" outlineLevel="0" collapsed="false">
      <c r="A8" s="4" t="n">
        <v>3</v>
      </c>
      <c r="B8" s="4" t="s">
        <v>22</v>
      </c>
      <c r="C8" s="4" t="s">
        <v>13</v>
      </c>
      <c r="D8" s="5" t="s">
        <v>14</v>
      </c>
      <c r="E8" s="6" t="n">
        <v>13500</v>
      </c>
      <c r="F8" s="4" t="s">
        <v>23</v>
      </c>
      <c r="G8" s="5" t="s">
        <v>14</v>
      </c>
      <c r="H8" s="4" t="s">
        <v>24</v>
      </c>
      <c r="I8" s="7" t="s">
        <v>17</v>
      </c>
    </row>
    <row r="9" customFormat="false" ht="15" hidden="false" customHeight="false" outlineLevel="0" collapsed="false">
      <c r="A9" s="4" t="n">
        <v>4</v>
      </c>
      <c r="B9" s="4" t="s">
        <v>25</v>
      </c>
      <c r="C9" s="4" t="s">
        <v>13</v>
      </c>
      <c r="D9" s="5" t="s">
        <v>14</v>
      </c>
      <c r="E9" s="6" t="n">
        <v>23800</v>
      </c>
      <c r="F9" s="4" t="s">
        <v>15</v>
      </c>
      <c r="G9" s="5" t="s">
        <v>14</v>
      </c>
      <c r="H9" s="4" t="s">
        <v>26</v>
      </c>
      <c r="I9" s="7" t="s">
        <v>17</v>
      </c>
    </row>
    <row r="11" customFormat="false" ht="15" hidden="false" customHeight="false" outlineLevel="0" collapsed="false">
      <c r="C11" s="9" t="s">
        <v>27</v>
      </c>
      <c r="E11" s="10" t="n">
        <f aca="false">SUM(E6:E7)</f>
        <v>23800</v>
      </c>
    </row>
    <row r="12" customFormat="false" ht="15" hidden="false" customHeight="false" outlineLevel="0" collapsed="false">
      <c r="C12" s="9" t="s">
        <v>28</v>
      </c>
      <c r="E12" s="10" t="n">
        <f aca="false">SUM(E6:E9)</f>
        <v>61100</v>
      </c>
    </row>
    <row r="13" customFormat="false" ht="15" hidden="false" customHeight="false" outlineLevel="0" collapsed="false">
      <c r="C13" s="2" t="s">
        <v>29</v>
      </c>
    </row>
  </sheetData>
  <dataValidations count="1">
    <dataValidation allowBlank="true" errorStyle="stop" operator="between" showDropDown="false" showErrorMessage="false" showInputMessage="false" sqref="I6:I9" type="list">
      <formula1>"To order,Ordered,Received,Not needed"</formula1>
      <formula2>0</formula2>
    </dataValidation>
  </dataValidations>
  <hyperlinks>
    <hyperlink ref="D6" r:id="rId2" display="Open link"/>
    <hyperlink ref="G6" r:id="rId3" display="Open link"/>
    <hyperlink ref="D7" r:id="rId4" display="Open link"/>
    <hyperlink ref="G7" r:id="rId5" display="Open link"/>
    <hyperlink ref="D8" r:id="rId6" display="Open link"/>
    <hyperlink ref="G8" r:id="rId7" display="Open link"/>
    <hyperlink ref="D9" r:id="rId8" display="Open link"/>
    <hyperlink ref="G9" r:id="rId9" display="Open 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11" t="s">
        <v>31</v>
      </c>
      <c r="B3" s="11" t="s">
        <v>32</v>
      </c>
      <c r="C3" s="11" t="s">
        <v>33</v>
      </c>
    </row>
    <row r="4" customFormat="false" ht="15" hidden="false" customHeight="false" outlineLevel="0" collapsed="false">
      <c r="A4" s="12" t="s">
        <v>34</v>
      </c>
      <c r="B4" s="12" t="s">
        <v>35</v>
      </c>
      <c r="C4" s="12" t="s">
        <v>36</v>
      </c>
    </row>
    <row r="5" customFormat="false" ht="15" hidden="false" customHeight="false" outlineLevel="0" collapsed="false">
      <c r="A5" s="12" t="s">
        <v>37</v>
      </c>
      <c r="B5" s="12" t="s">
        <v>38</v>
      </c>
      <c r="C5" s="12" t="s">
        <v>39</v>
      </c>
    </row>
    <row r="6" customFormat="false" ht="15" hidden="false" customHeight="false" outlineLevel="0" collapsed="false">
      <c r="A6" s="12" t="s">
        <v>40</v>
      </c>
      <c r="B6" s="12" t="s">
        <v>41</v>
      </c>
      <c r="C6" s="12" t="s">
        <v>42</v>
      </c>
    </row>
    <row r="7" customFormat="false" ht="15" hidden="false" customHeight="false" outlineLevel="0" collapsed="false">
      <c r="A7" s="12" t="s">
        <v>43</v>
      </c>
      <c r="B7" s="12" t="s">
        <v>44</v>
      </c>
      <c r="C7" s="12" t="s">
        <v>45</v>
      </c>
    </row>
    <row r="8" customFormat="false" ht="15" hidden="false" customHeight="false" outlineLevel="0" collapsed="false">
      <c r="A8" s="12" t="s">
        <v>46</v>
      </c>
      <c r="B8" s="12" t="s">
        <v>47</v>
      </c>
      <c r="C8" s="12" t="s">
        <v>48</v>
      </c>
    </row>
    <row r="9" customFormat="false" ht="15" hidden="false" customHeight="false" outlineLevel="0" collapsed="false">
      <c r="A9" s="12" t="s">
        <v>49</v>
      </c>
      <c r="B9" s="12" t="s">
        <v>50</v>
      </c>
      <c r="C9" s="12" t="s">
        <v>51</v>
      </c>
    </row>
    <row r="10" customFormat="false" ht="15" hidden="false" customHeight="false" outlineLevel="0" collapsed="false">
      <c r="A10" s="12" t="s">
        <v>52</v>
      </c>
      <c r="B10" s="12" t="s">
        <v>53</v>
      </c>
      <c r="C10" s="12" t="s">
        <v>54</v>
      </c>
    </row>
    <row r="11" customFormat="false" ht="15" hidden="false" customHeight="false" outlineLevel="0" collapsed="false">
      <c r="A11" s="12" t="s">
        <v>55</v>
      </c>
      <c r="B11" s="12" t="s">
        <v>56</v>
      </c>
      <c r="C11" s="1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2026-09-24T16:35:18Z</dcterms:created>
  <dc:creator>openpyxl</dc:creator>
  <dc:description/>
  <dc:language>en-US</dc:language>
  <cp:lastModifiedBy/>
  <dcterms:modified xsi:type="dcterms:W3CDTF">2026-09-24T16:35:18Z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